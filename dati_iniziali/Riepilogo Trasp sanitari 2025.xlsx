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 tabRatio="500"/>
  </bookViews>
  <sheets>
    <sheet name="TRASPORTO SANITARI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1" l="1"/>
  <c r="B33" i="1"/>
  <c r="C9" i="1"/>
  <c r="E19" i="1"/>
  <c r="C19" i="1"/>
  <c r="B19" i="1"/>
  <c r="E9" i="1"/>
  <c r="B9" i="1"/>
  <c r="E20" i="1" l="1"/>
</calcChain>
</file>

<file path=xl/sharedStrings.xml><?xml version="1.0" encoding="utf-8"?>
<sst xmlns="http://schemas.openxmlformats.org/spreadsheetml/2006/main" count="37" uniqueCount="23">
  <si>
    <t>TRASPORTI SANITARI ORDINARI PROGRAMMATI (DIMISSIONI/ TRASFERIMENTI/ CONSULENZE)</t>
  </si>
  <si>
    <t>PERIODO DI RIFERIMENTO: INTERO ANNO 2025</t>
  </si>
  <si>
    <t>PRESIDI OSPEDALIERI</t>
  </si>
  <si>
    <t>TOT 2024</t>
  </si>
  <si>
    <t>TOT 2025</t>
  </si>
  <si>
    <t>Dimissioni/trasferimenti/ consulenze con ambulanze o mezzi attrezzati effettuate dai Presidi</t>
  </si>
  <si>
    <t>N° dimissioni/trasferimenti/consulenze</t>
  </si>
  <si>
    <t>Km per dimissioni/trasferimenti/ consulenze</t>
  </si>
  <si>
    <t>P.O. Città di Castello e Umbertide</t>
  </si>
  <si>
    <t>DISTRETTI TERRITORIALI</t>
  </si>
  <si>
    <t>Dimissioni/trasferimenti/ consulenze  con ambulanze o mezzi attrezzati effettuate dai Distretti Territtoriali</t>
  </si>
  <si>
    <t>TRASPORTI DIALIZZATI BARELLATI</t>
  </si>
  <si>
    <t>Km</t>
  </si>
  <si>
    <t>N° sedute</t>
  </si>
  <si>
    <t>Distretto Assisano</t>
  </si>
  <si>
    <t>P.O. Gubbio-Gualdo Tadino</t>
  </si>
  <si>
    <t>Presidio Ospedaliero Unificato</t>
  </si>
  <si>
    <t>Distretto Alto Tevere</t>
  </si>
  <si>
    <t>Distretto Alto Chiascio</t>
  </si>
  <si>
    <t>Distretto del Perugino</t>
  </si>
  <si>
    <t>Distretto Trasimeno</t>
  </si>
  <si>
    <t>Distretto Media Valle del Tevere</t>
  </si>
  <si>
    <t xml:space="preserve">TRASPORTI DIALIZZATI BARELLATI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</si>
</sst>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&quot; €&quot;_-;\-* #,##0.00&quot; €&quot;_-;_-* \-??&quot; €&quot;_-;_-@_-"/>
    <numFmt numFmtId="165" formatCode="[$€-410]\ #,##0.00;[Red]\-[$€-410]\ #,##0.00"/>
  </numFmts>
  <fonts count="5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b/>
      <sz val="14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4" fontId="3" fillId="0" borderId="0" applyBorder="0" applyProtection="0"/>
    <xf numFmtId="0" fontId="3" fillId="0" borderId="0"/>
    <xf numFmtId="164" fontId="3" fillId="0" borderId="0" applyBorder="0" applyProtection="0"/>
    <xf numFmtId="164" fontId="3" fillId="0" borderId="0" applyBorder="0" applyProtection="0"/>
  </cellStyleXfs>
  <cellXfs count="4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  <xf numFmtId="165" fontId="0" fillId="0" borderId="0" xfId="0" applyNumberFormat="1"/>
    <xf numFmtId="164" fontId="3" fillId="0" borderId="0" xfId="1" applyBorder="1" applyProtection="1"/>
    <xf numFmtId="164" fontId="1" fillId="0" borderId="0" xfId="1" applyFont="1" applyBorder="1" applyProtection="1"/>
    <xf numFmtId="0" fontId="1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/>
    <xf numFmtId="0" fontId="1" fillId="3" borderId="6" xfId="0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/>
    <xf numFmtId="0" fontId="1" fillId="3" borderId="6" xfId="0" applyFont="1" applyFill="1" applyBorder="1"/>
    <xf numFmtId="0" fontId="1" fillId="0" borderId="0" xfId="0" applyFont="1" applyBorder="1"/>
    <xf numFmtId="0" fontId="0" fillId="0" borderId="3" xfId="0" applyBorder="1" applyAlignment="1">
      <alignment wrapText="1"/>
    </xf>
    <xf numFmtId="0" fontId="4" fillId="0" borderId="1" xfId="0" applyFont="1" applyBorder="1"/>
    <xf numFmtId="0" fontId="1" fillId="5" borderId="1" xfId="0" applyFont="1" applyFill="1" applyBorder="1"/>
    <xf numFmtId="0" fontId="1" fillId="0" borderId="0" xfId="0" applyFont="1" applyFill="1"/>
    <xf numFmtId="0" fontId="2" fillId="3" borderId="0" xfId="0" applyFont="1" applyFill="1" applyBorder="1"/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5">
    <cellStyle name="Normale" xfId="0" builtinId="0"/>
    <cellStyle name="Normale 2" xfId="2"/>
    <cellStyle name="Valuta" xfId="1" builtinId="4"/>
    <cellStyle name="Valuta 2" xfId="3"/>
    <cellStyle name="Valuta 3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23</xdr:row>
      <xdr:rowOff>141840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0" y="0"/>
          <a:ext cx="10594440" cy="53956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23</xdr:row>
      <xdr:rowOff>141840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0" y="0"/>
          <a:ext cx="10594440" cy="53956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zoomScaleNormal="100" workbookViewId="0">
      <selection activeCell="A22" sqref="A22"/>
    </sheetView>
  </sheetViews>
  <sheetFormatPr defaultRowHeight="14.25"/>
  <cols>
    <col min="1" max="1" width="46.875" customWidth="1"/>
    <col min="2" max="2" width="33.25" customWidth="1"/>
    <col min="3" max="3" width="34" customWidth="1"/>
    <col min="4" max="4" width="23.75" customWidth="1"/>
    <col min="5" max="5" width="23" hidden="1" customWidth="1"/>
    <col min="6" max="6" width="23" customWidth="1"/>
    <col min="7" max="7" width="14.75" customWidth="1"/>
    <col min="8" max="8" width="15.125" customWidth="1"/>
    <col min="9" max="9" width="8.375" customWidth="1"/>
    <col min="10" max="10" width="22.875" customWidth="1"/>
    <col min="11" max="11" width="19.125" customWidth="1"/>
    <col min="12" max="12" width="18.875" customWidth="1"/>
    <col min="13" max="13" width="19" customWidth="1"/>
    <col min="14" max="1020" width="8.375" customWidth="1"/>
    <col min="1021" max="1022" width="12.875" customWidth="1"/>
  </cols>
  <sheetData>
    <row r="1" spans="1:13" ht="18">
      <c r="A1" s="38" t="s">
        <v>0</v>
      </c>
      <c r="B1" s="1"/>
      <c r="C1" s="1"/>
      <c r="D1" s="36"/>
      <c r="E1" s="2"/>
      <c r="F1" s="2"/>
    </row>
    <row r="2" spans="1:13" ht="18">
      <c r="A2" s="2" t="s">
        <v>1</v>
      </c>
      <c r="B2" s="3"/>
    </row>
    <row r="4" spans="1:13" ht="15">
      <c r="A4" s="32" t="s">
        <v>2</v>
      </c>
      <c r="B4" s="44" t="s">
        <v>4</v>
      </c>
      <c r="C4" s="45"/>
      <c r="E4" s="28" t="s">
        <v>3</v>
      </c>
      <c r="F4" s="23"/>
    </row>
    <row r="5" spans="1:13" ht="31.5" customHeight="1">
      <c r="A5" s="6" t="s">
        <v>5</v>
      </c>
      <c r="B5" s="7" t="s">
        <v>6</v>
      </c>
      <c r="C5" s="7" t="s">
        <v>7</v>
      </c>
      <c r="E5" s="29" t="s">
        <v>6</v>
      </c>
      <c r="F5" s="24"/>
      <c r="K5" s="16"/>
      <c r="L5" s="16"/>
      <c r="M5" s="16"/>
    </row>
    <row r="6" spans="1:13">
      <c r="A6" s="8" t="s">
        <v>8</v>
      </c>
      <c r="B6" s="8">
        <v>3444</v>
      </c>
      <c r="C6" s="8">
        <v>196123</v>
      </c>
      <c r="E6" s="30">
        <v>3405</v>
      </c>
      <c r="F6" s="25"/>
      <c r="J6" s="17"/>
    </row>
    <row r="7" spans="1:13">
      <c r="A7" s="8" t="s">
        <v>15</v>
      </c>
      <c r="B7" s="8">
        <v>2348</v>
      </c>
      <c r="C7" s="8">
        <v>127991</v>
      </c>
      <c r="E7" s="30">
        <v>2285</v>
      </c>
      <c r="F7" s="25"/>
      <c r="J7" s="17"/>
    </row>
    <row r="8" spans="1:13" ht="15">
      <c r="A8" s="9" t="s">
        <v>16</v>
      </c>
      <c r="B8" s="8">
        <v>2260</v>
      </c>
      <c r="C8" s="8">
        <v>163877</v>
      </c>
      <c r="E8" s="30">
        <v>1332</v>
      </c>
      <c r="F8" s="25"/>
      <c r="H8" s="2"/>
      <c r="J8" s="17"/>
    </row>
    <row r="9" spans="1:13" ht="15">
      <c r="B9" s="35">
        <f>SUM(B6:B8)</f>
        <v>8052</v>
      </c>
      <c r="C9" s="35">
        <f>SUM(C6:C8)</f>
        <v>487991</v>
      </c>
      <c r="E9" s="31">
        <f>SUM(E6:E8)</f>
        <v>7022</v>
      </c>
      <c r="F9" s="26"/>
      <c r="J9" s="17"/>
    </row>
    <row r="10" spans="1:13" ht="15">
      <c r="C10" s="2"/>
      <c r="D10" s="2"/>
      <c r="F10" s="27"/>
      <c r="H10" s="2"/>
      <c r="J10" s="17"/>
    </row>
    <row r="11" spans="1:13" ht="15">
      <c r="A11" s="32" t="s">
        <v>9</v>
      </c>
      <c r="B11" s="4" t="s">
        <v>4</v>
      </c>
      <c r="C11" s="4"/>
      <c r="E11" s="5" t="s">
        <v>3</v>
      </c>
      <c r="F11" s="23"/>
      <c r="J11" s="18"/>
      <c r="K11" s="2"/>
      <c r="L11" s="2"/>
      <c r="M11" s="2"/>
    </row>
    <row r="12" spans="1:13" ht="51.75" customHeight="1">
      <c r="A12" s="6" t="s">
        <v>10</v>
      </c>
      <c r="B12" s="7" t="s">
        <v>6</v>
      </c>
      <c r="C12" s="7" t="s">
        <v>7</v>
      </c>
      <c r="E12" s="33" t="s">
        <v>6</v>
      </c>
      <c r="F12" s="22"/>
      <c r="J12" s="17"/>
    </row>
    <row r="13" spans="1:13">
      <c r="A13" s="8" t="s">
        <v>17</v>
      </c>
      <c r="B13" s="8">
        <v>1627</v>
      </c>
      <c r="C13" s="8">
        <v>90237</v>
      </c>
      <c r="E13" s="20">
        <v>2548</v>
      </c>
      <c r="F13" s="25"/>
      <c r="J13" s="17"/>
    </row>
    <row r="14" spans="1:13">
      <c r="A14" s="8" t="s">
        <v>18</v>
      </c>
      <c r="B14" s="8">
        <v>1464</v>
      </c>
      <c r="C14" s="8">
        <v>130008</v>
      </c>
      <c r="E14" s="20">
        <v>1445</v>
      </c>
      <c r="F14" s="25"/>
      <c r="J14" s="17"/>
    </row>
    <row r="15" spans="1:13" ht="15">
      <c r="A15" s="8" t="s">
        <v>19</v>
      </c>
      <c r="B15" s="8">
        <v>2134</v>
      </c>
      <c r="C15" s="8">
        <v>122585</v>
      </c>
      <c r="E15" s="8">
        <v>2117</v>
      </c>
      <c r="F15" s="25"/>
      <c r="J15" s="18"/>
      <c r="K15" s="2"/>
      <c r="L15" s="2"/>
      <c r="M15" s="2"/>
    </row>
    <row r="16" spans="1:13">
      <c r="A16" s="8" t="s">
        <v>20</v>
      </c>
      <c r="B16" s="8">
        <v>1648</v>
      </c>
      <c r="C16" s="8">
        <v>146641</v>
      </c>
      <c r="E16" s="8">
        <v>979</v>
      </c>
      <c r="F16" s="25"/>
      <c r="J16" s="17"/>
    </row>
    <row r="17" spans="1:13">
      <c r="A17" s="8" t="s">
        <v>14</v>
      </c>
      <c r="B17" s="8">
        <v>795</v>
      </c>
      <c r="C17" s="8">
        <v>62595</v>
      </c>
      <c r="E17" s="8">
        <v>922</v>
      </c>
      <c r="F17" s="25"/>
      <c r="J17" s="17"/>
    </row>
    <row r="18" spans="1:13">
      <c r="A18" s="8" t="s">
        <v>21</v>
      </c>
      <c r="B18" s="8">
        <v>1256</v>
      </c>
      <c r="C18" s="8">
        <v>136169</v>
      </c>
      <c r="E18" s="8">
        <v>1437</v>
      </c>
      <c r="F18" s="25"/>
      <c r="J18" s="17"/>
    </row>
    <row r="19" spans="1:13" ht="15">
      <c r="A19" s="8"/>
      <c r="B19" s="11">
        <f>SUM(B13:B18)</f>
        <v>8924</v>
      </c>
      <c r="C19" s="11">
        <f>SUM(C13:C18)</f>
        <v>688235</v>
      </c>
      <c r="E19" s="10">
        <f>SUM(E13:E18)</f>
        <v>9448</v>
      </c>
      <c r="F19" s="26"/>
      <c r="H19" s="12"/>
      <c r="J19" s="19"/>
      <c r="K19" s="2"/>
      <c r="L19" s="2"/>
      <c r="M19" s="2"/>
    </row>
    <row r="20" spans="1:13" ht="15">
      <c r="E20" s="10">
        <f>E9+E19</f>
        <v>16470</v>
      </c>
      <c r="F20" s="26"/>
      <c r="H20" s="2"/>
    </row>
    <row r="22" spans="1:13" ht="18">
      <c r="A22" s="37" t="s">
        <v>22</v>
      </c>
      <c r="D22" s="13"/>
      <c r="E22" s="13"/>
      <c r="F22" s="13"/>
    </row>
    <row r="23" spans="1:13" ht="15">
      <c r="A23" s="2" t="s">
        <v>1</v>
      </c>
      <c r="D23" s="13"/>
      <c r="E23" s="14"/>
      <c r="F23" s="14"/>
    </row>
    <row r="24" spans="1:13" ht="18">
      <c r="A24" s="3"/>
    </row>
    <row r="25" spans="1:13" ht="15">
      <c r="A25" s="2"/>
      <c r="B25" s="39" t="s">
        <v>4</v>
      </c>
      <c r="C25" s="39"/>
    </row>
    <row r="26" spans="1:13" ht="15">
      <c r="A26" s="10" t="s">
        <v>11</v>
      </c>
      <c r="B26" s="21" t="s">
        <v>12</v>
      </c>
      <c r="C26" s="21" t="s">
        <v>13</v>
      </c>
    </row>
    <row r="27" spans="1:13">
      <c r="A27" s="8" t="s">
        <v>17</v>
      </c>
      <c r="B27" s="34">
        <v>70474</v>
      </c>
      <c r="C27" s="8">
        <v>1061</v>
      </c>
    </row>
    <row r="28" spans="1:13">
      <c r="A28" s="8" t="s">
        <v>18</v>
      </c>
      <c r="B28" s="8">
        <v>81536</v>
      </c>
      <c r="C28" s="8">
        <v>1194</v>
      </c>
    </row>
    <row r="29" spans="1:13">
      <c r="A29" s="8" t="s">
        <v>19</v>
      </c>
      <c r="B29" s="40">
        <v>210977</v>
      </c>
      <c r="C29" s="43">
        <v>4752</v>
      </c>
    </row>
    <row r="30" spans="1:13">
      <c r="A30" s="8" t="s">
        <v>14</v>
      </c>
      <c r="B30" s="41"/>
      <c r="C30" s="43"/>
    </row>
    <row r="31" spans="1:13">
      <c r="A31" s="8" t="s">
        <v>21</v>
      </c>
      <c r="B31" s="41"/>
      <c r="C31" s="43"/>
    </row>
    <row r="32" spans="1:13">
      <c r="A32" s="8" t="s">
        <v>20</v>
      </c>
      <c r="B32" s="42"/>
      <c r="C32" s="43"/>
    </row>
    <row r="33" spans="1:3" ht="15">
      <c r="A33" s="15"/>
      <c r="B33" s="10">
        <f t="shared" ref="B33:C33" si="0">SUM(B27:B32)</f>
        <v>362987</v>
      </c>
      <c r="C33" s="10">
        <f t="shared" si="0"/>
        <v>7007</v>
      </c>
    </row>
  </sheetData>
  <mergeCells count="4">
    <mergeCell ref="B25:C25"/>
    <mergeCell ref="B29:B32"/>
    <mergeCell ref="C29:C32"/>
    <mergeCell ref="B4:C4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TRASPORTO SANITARI</vt:lpstr>
    </vt:vector>
  </TitlesOfParts>
  <Company>USL Umbria 1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NICASI ZANETTI</dc:creator>
  <cp:lastModifiedBy>Luca PETRANGELI</cp:lastModifiedBy>
  <cp:revision>14</cp:revision>
  <dcterms:created xsi:type="dcterms:W3CDTF">2025-09-08T13:04:54Z</dcterms:created>
  <dcterms:modified xsi:type="dcterms:W3CDTF">2026-05-08T10:26:09Z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USL Umbria 1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